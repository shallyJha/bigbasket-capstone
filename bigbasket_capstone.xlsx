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thly Data" sheetId="1" r:id="rId5"/>
    <sheet state="visible" name="Pivot Table" sheetId="2" r:id="rId6"/>
    <sheet state="visible" name="Category Targets" sheetId="3" r:id="rId7"/>
    <sheet state="visible" name="Category Summary" sheetId="4" r:id="rId8"/>
  </sheets>
  <definedNames/>
  <calcPr/>
  <pivotCaches>
    <pivotCache cacheId="0" r:id="rId9"/>
  </pivotCaches>
</workbook>
</file>

<file path=xl/sharedStrings.xml><?xml version="1.0" encoding="utf-8"?>
<sst xmlns="http://schemas.openxmlformats.org/spreadsheetml/2006/main" count="103" uniqueCount="26">
  <si>
    <t>category</t>
  </si>
  <si>
    <t>target_revenue_inr</t>
  </si>
  <si>
    <t>Fruits &amp; Vegetables</t>
  </si>
  <si>
    <t>month</t>
  </si>
  <si>
    <t>Dairy &amp; Eggs</t>
  </si>
  <si>
    <t>order_count</t>
  </si>
  <si>
    <t>total_revenue</t>
  </si>
  <si>
    <t>avg_revenue</t>
  </si>
  <si>
    <t>Snacks &amp; Beverages</t>
  </si>
  <si>
    <t>Bakery</t>
  </si>
  <si>
    <t>Personal Care</t>
  </si>
  <si>
    <t>2026-01</t>
  </si>
  <si>
    <t>Household Essentials</t>
  </si>
  <si>
    <t>2026-02</t>
  </si>
  <si>
    <t>2026-03</t>
  </si>
  <si>
    <t>variance</t>
  </si>
  <si>
    <t>percentage_variance</t>
  </si>
  <si>
    <t>2026-04</t>
  </si>
  <si>
    <t>tag</t>
  </si>
  <si>
    <t>SQL Total (Part 1)</t>
  </si>
  <si>
    <t>Matches Part 1 SQL total?</t>
  </si>
  <si>
    <t>2026-05</t>
  </si>
  <si>
    <t>2026-06</t>
  </si>
  <si>
    <t>SUM of total_revenue</t>
  </si>
  <si>
    <t>SUM of order_count</t>
  </si>
  <si>
    <t>Grand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</si>
</sst>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color theme="1"/>
      <name val="Calibri"/>
      <scheme val="minor"/>
    </font>
    <font>
      <color rgb="FFD1D5DA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E37" sheet="Monthly Data"/>
  </cacheSource>
  <cacheFields>
    <cacheField name="category" numFmtId="0">
      <sharedItems>
        <s v="Bakery"/>
        <s v="Dairy &amp; Eggs"/>
        <s v="Fruits &amp; Vegetables"/>
        <s v="Household Essentials"/>
        <s v="Personal Care"/>
        <s v="Snacks &amp; Beverages"/>
      </sharedItems>
    </cacheField>
    <cacheField name="month" numFmtId="0">
      <sharedItems>
        <s v="2026-01"/>
        <s v="2026-02"/>
        <s v="2026-03"/>
        <s v="2026-04"/>
        <s v="2026-05"/>
        <s v="2026-06"/>
      </sharedItems>
    </cacheField>
    <cacheField name="order_count" numFmtId="0">
      <sharedItems containsSemiMixedTypes="0" containsString="0" containsNumber="1" containsInteger="1">
        <n v="6.0"/>
        <n v="8.0"/>
        <n v="11.0"/>
        <n v="13.0"/>
        <n v="15.0"/>
        <n v="14.0"/>
        <n v="9.0"/>
        <n v="12.0"/>
        <n v="10.0"/>
        <n v="16.0"/>
        <n v="17.0"/>
        <n v="19.0"/>
      </sharedItems>
    </cacheField>
    <cacheField name="total_revenue" numFmtId="0">
      <sharedItems containsSemiMixedTypes="0" containsString="0" containsNumber="1" containsInteger="1">
        <n v="735.0"/>
        <n v="2440.0"/>
        <n v="3090.0"/>
        <n v="3115.0"/>
        <n v="3695.0"/>
        <n v="2335.0"/>
        <n v="2035.0"/>
        <n v="1935.0"/>
        <n v="3163.0"/>
        <n v="1650.0"/>
        <n v="3479.0"/>
        <n v="1828.0"/>
        <n v="1290.0"/>
        <n v="2090.0"/>
        <n v="2080.0"/>
        <n v="1400.0"/>
        <n v="1870.0"/>
        <n v="1060.0"/>
        <n v="2099.0"/>
        <n v="5113.0"/>
        <n v="1885.0"/>
        <n v="5491.0"/>
        <n v="3477.0"/>
        <n v="3650.0"/>
        <n v="3608.0"/>
        <n v="2177.0"/>
        <n v="2807.0"/>
        <n v="1970.0"/>
        <n v="3045.0"/>
        <n v="2775.0"/>
        <n v="1330.0"/>
        <n v="1670.0"/>
        <n v="2980.0"/>
        <n v="1665.0"/>
        <n v="1960.0"/>
      </sharedItems>
    </cacheField>
    <cacheField name="avg_revenue" numFmtId="0">
      <sharedItems containsSemiMixedTypes="0" containsString="0" containsNumber="1">
        <n v="122.5"/>
        <n v="305.0"/>
        <n v="280.909090909091"/>
        <n v="239.615384615385"/>
        <n v="246.333333333333"/>
        <n v="166.785714285714"/>
        <n v="226.111111111111"/>
        <n v="241.875"/>
        <n v="210.866666666667"/>
        <n v="183.333333333333"/>
        <n v="248.5"/>
        <n v="166.181818181818"/>
        <n v="107.5"/>
        <n v="160.769230769231"/>
        <n v="160.0"/>
        <n v="100.0"/>
        <n v="155.833333333333"/>
        <n v="117.777777777778"/>
        <n v="209.9"/>
        <n v="319.5625"/>
        <n v="235.625"/>
        <n v="323.0"/>
        <n v="217.3125"/>
        <n v="304.166666666667"/>
        <n v="300.666666666667"/>
        <n v="272.125"/>
        <n v="255.181818181818"/>
        <n v="218.888888888889"/>
        <n v="234.230769230769"/>
        <n v="213.461538461538"/>
        <n v="129.0"/>
        <n v="120.909090909091"/>
        <n v="111.333333333333"/>
        <n v="156.842105263158"/>
        <n v="128.076923076923"/>
        <n v="130.666666666667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" cacheId="0" dataCaption="" compact="0" compactData="0">
  <location ref="A1:C8" firstHeaderRow="0" firstDataRow="2" firstDataCol="0"/>
  <pivotFields>
    <pivotField name="category" axis="axisRow" compact="0" outline="0" multipleItemSelectionAllowed="1" showAll="0" sortType="ascending">
      <items>
        <item x="0"/>
        <item x="1"/>
        <item x="2"/>
        <item x="3"/>
        <item x="4"/>
        <item x="5"/>
        <item t="default"/>
      </items>
    </pivotField>
    <pivotField name="month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order_coun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_revenu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avg_revenu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</pivotFields>
  <rowFields>
    <field x="0"/>
  </rowFields>
  <colFields>
    <field x="-2"/>
  </colFields>
  <dataFields>
    <dataField name="SUM of total_revenue" fld="3" baseField="0"/>
    <dataField name="SUM of order_count" fld="2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</row>
    <row r="2">
      <c r="A2" s="1" t="s">
        <v>9</v>
      </c>
      <c r="B2" s="1" t="s">
        <v>11</v>
      </c>
      <c r="C2" s="1">
        <v>6.0</v>
      </c>
      <c r="D2" s="1">
        <v>735.0</v>
      </c>
      <c r="E2" s="1">
        <v>122.5</v>
      </c>
    </row>
    <row r="3">
      <c r="A3" s="1" t="s">
        <v>9</v>
      </c>
      <c r="B3" s="1" t="s">
        <v>13</v>
      </c>
      <c r="C3" s="1">
        <v>8.0</v>
      </c>
      <c r="D3" s="1">
        <v>2440.0</v>
      </c>
      <c r="E3" s="1">
        <v>305.0</v>
      </c>
    </row>
    <row r="4">
      <c r="A4" s="1" t="s">
        <v>9</v>
      </c>
      <c r="B4" s="1" t="s">
        <v>14</v>
      </c>
      <c r="C4" s="1">
        <v>11.0</v>
      </c>
      <c r="D4" s="1">
        <v>3090.0</v>
      </c>
      <c r="E4" s="1">
        <v>280.909090909091</v>
      </c>
    </row>
    <row r="5">
      <c r="A5" s="1" t="s">
        <v>9</v>
      </c>
      <c r="B5" s="1" t="s">
        <v>17</v>
      </c>
      <c r="C5" s="1">
        <v>13.0</v>
      </c>
      <c r="D5" s="1">
        <v>3115.0</v>
      </c>
      <c r="E5" s="1">
        <v>239.615384615385</v>
      </c>
    </row>
    <row r="6">
      <c r="A6" s="1" t="s">
        <v>9</v>
      </c>
      <c r="B6" s="1" t="s">
        <v>21</v>
      </c>
      <c r="C6" s="1">
        <v>15.0</v>
      </c>
      <c r="D6" s="1">
        <v>3695.0</v>
      </c>
      <c r="E6" s="1">
        <v>246.333333333333</v>
      </c>
    </row>
    <row r="7">
      <c r="A7" s="1" t="s">
        <v>9</v>
      </c>
      <c r="B7" s="1" t="s">
        <v>22</v>
      </c>
      <c r="C7" s="1">
        <v>14.0</v>
      </c>
      <c r="D7" s="1">
        <v>2335.0</v>
      </c>
      <c r="E7" s="1">
        <v>166.785714285714</v>
      </c>
    </row>
    <row r="8">
      <c r="A8" s="1" t="s">
        <v>4</v>
      </c>
      <c r="B8" s="1" t="s">
        <v>11</v>
      </c>
      <c r="C8" s="1">
        <v>9.0</v>
      </c>
      <c r="D8" s="1">
        <v>2035.0</v>
      </c>
      <c r="E8" s="1">
        <v>226.111111111111</v>
      </c>
    </row>
    <row r="9">
      <c r="A9" s="1" t="s">
        <v>4</v>
      </c>
      <c r="B9" s="1" t="s">
        <v>13</v>
      </c>
      <c r="C9" s="1">
        <v>8.0</v>
      </c>
      <c r="D9" s="1">
        <v>1935.0</v>
      </c>
      <c r="E9" s="1">
        <v>241.875</v>
      </c>
    </row>
    <row r="10">
      <c r="A10" s="1" t="s">
        <v>4</v>
      </c>
      <c r="B10" s="1" t="s">
        <v>14</v>
      </c>
      <c r="C10" s="1">
        <v>15.0</v>
      </c>
      <c r="D10" s="1">
        <v>3163.0</v>
      </c>
      <c r="E10" s="1">
        <v>210.866666666667</v>
      </c>
    </row>
    <row r="11">
      <c r="A11" s="1" t="s">
        <v>4</v>
      </c>
      <c r="B11" s="1" t="s">
        <v>17</v>
      </c>
      <c r="C11" s="1">
        <v>9.0</v>
      </c>
      <c r="D11" s="1">
        <v>1650.0</v>
      </c>
      <c r="E11" s="1">
        <v>183.333333333333</v>
      </c>
    </row>
    <row r="12">
      <c r="A12" s="1" t="s">
        <v>4</v>
      </c>
      <c r="B12" s="1" t="s">
        <v>21</v>
      </c>
      <c r="C12" s="1">
        <v>14.0</v>
      </c>
      <c r="D12" s="1">
        <v>3479.0</v>
      </c>
      <c r="E12" s="1">
        <v>248.5</v>
      </c>
    </row>
    <row r="13">
      <c r="A13" s="1" t="s">
        <v>4</v>
      </c>
      <c r="B13" s="1" t="s">
        <v>22</v>
      </c>
      <c r="C13" s="1">
        <v>11.0</v>
      </c>
      <c r="D13" s="1">
        <v>1828.0</v>
      </c>
      <c r="E13" s="1">
        <v>166.181818181818</v>
      </c>
    </row>
    <row r="14">
      <c r="A14" s="1" t="s">
        <v>2</v>
      </c>
      <c r="B14" s="1" t="s">
        <v>11</v>
      </c>
      <c r="C14" s="1">
        <v>12.0</v>
      </c>
      <c r="D14" s="1">
        <v>1290.0</v>
      </c>
      <c r="E14" s="1">
        <v>107.5</v>
      </c>
    </row>
    <row r="15">
      <c r="A15" s="1" t="s">
        <v>2</v>
      </c>
      <c r="B15" s="1" t="s">
        <v>13</v>
      </c>
      <c r="C15" s="1">
        <v>13.0</v>
      </c>
      <c r="D15" s="1">
        <v>2090.0</v>
      </c>
      <c r="E15" s="1">
        <v>160.769230769231</v>
      </c>
    </row>
    <row r="16">
      <c r="A16" s="1" t="s">
        <v>2</v>
      </c>
      <c r="B16" s="1" t="s">
        <v>14</v>
      </c>
      <c r="C16" s="1">
        <v>13.0</v>
      </c>
      <c r="D16" s="1">
        <v>2080.0</v>
      </c>
      <c r="E16" s="1">
        <v>160.0</v>
      </c>
    </row>
    <row r="17">
      <c r="A17" s="1" t="s">
        <v>2</v>
      </c>
      <c r="B17" s="1" t="s">
        <v>17</v>
      </c>
      <c r="C17" s="1">
        <v>14.0</v>
      </c>
      <c r="D17" s="1">
        <v>1400.0</v>
      </c>
      <c r="E17" s="1">
        <v>100.0</v>
      </c>
    </row>
    <row r="18">
      <c r="A18" s="1" t="s">
        <v>2</v>
      </c>
      <c r="B18" s="1" t="s">
        <v>21</v>
      </c>
      <c r="C18" s="1">
        <v>12.0</v>
      </c>
      <c r="D18" s="1">
        <v>1870.0</v>
      </c>
      <c r="E18" s="1">
        <v>155.833333333333</v>
      </c>
    </row>
    <row r="19">
      <c r="A19" s="1" t="s">
        <v>2</v>
      </c>
      <c r="B19" s="1" t="s">
        <v>22</v>
      </c>
      <c r="C19" s="1">
        <v>9.0</v>
      </c>
      <c r="D19" s="1">
        <v>1060.0</v>
      </c>
      <c r="E19" s="1">
        <v>117.777777777778</v>
      </c>
    </row>
    <row r="20">
      <c r="A20" s="1" t="s">
        <v>12</v>
      </c>
      <c r="B20" s="1" t="s">
        <v>11</v>
      </c>
      <c r="C20" s="1">
        <v>10.0</v>
      </c>
      <c r="D20" s="1">
        <v>2099.0</v>
      </c>
      <c r="E20" s="1">
        <v>209.9</v>
      </c>
    </row>
    <row r="21" ht="15.75" customHeight="1">
      <c r="A21" s="1" t="s">
        <v>12</v>
      </c>
      <c r="B21" s="1" t="s">
        <v>13</v>
      </c>
      <c r="C21" s="1">
        <v>16.0</v>
      </c>
      <c r="D21" s="1">
        <v>5113.0</v>
      </c>
      <c r="E21" s="1">
        <v>319.5625</v>
      </c>
    </row>
    <row r="22" ht="15.75" customHeight="1">
      <c r="A22" s="1" t="s">
        <v>12</v>
      </c>
      <c r="B22" s="1" t="s">
        <v>14</v>
      </c>
      <c r="C22" s="1">
        <v>8.0</v>
      </c>
      <c r="D22" s="1">
        <v>1885.0</v>
      </c>
      <c r="E22" s="1">
        <v>235.625</v>
      </c>
    </row>
    <row r="23" ht="15.75" customHeight="1">
      <c r="A23" s="1" t="s">
        <v>12</v>
      </c>
      <c r="B23" s="1" t="s">
        <v>17</v>
      </c>
      <c r="C23" s="1">
        <v>17.0</v>
      </c>
      <c r="D23" s="1">
        <v>5491.0</v>
      </c>
      <c r="E23" s="1">
        <v>323.0</v>
      </c>
    </row>
    <row r="24" ht="15.75" customHeight="1">
      <c r="A24" s="1" t="s">
        <v>12</v>
      </c>
      <c r="B24" s="1" t="s">
        <v>21</v>
      </c>
      <c r="C24" s="1">
        <v>16.0</v>
      </c>
      <c r="D24" s="1">
        <v>3477.0</v>
      </c>
      <c r="E24" s="1">
        <v>217.3125</v>
      </c>
    </row>
    <row r="25" ht="15.75" customHeight="1">
      <c r="A25" s="1" t="s">
        <v>12</v>
      </c>
      <c r="B25" s="1" t="s">
        <v>22</v>
      </c>
      <c r="C25" s="1">
        <v>12.0</v>
      </c>
      <c r="D25" s="1">
        <v>3650.0</v>
      </c>
      <c r="E25" s="1">
        <v>304.166666666667</v>
      </c>
    </row>
    <row r="26" ht="15.75" customHeight="1">
      <c r="A26" s="1" t="s">
        <v>10</v>
      </c>
      <c r="B26" s="1" t="s">
        <v>11</v>
      </c>
      <c r="C26" s="1">
        <v>12.0</v>
      </c>
      <c r="D26" s="1">
        <v>3608.0</v>
      </c>
      <c r="E26" s="1">
        <v>300.666666666667</v>
      </c>
    </row>
    <row r="27" ht="15.75" customHeight="1">
      <c r="A27" s="1" t="s">
        <v>10</v>
      </c>
      <c r="B27" s="1" t="s">
        <v>13</v>
      </c>
      <c r="C27" s="1">
        <v>8.0</v>
      </c>
      <c r="D27" s="1">
        <v>2177.0</v>
      </c>
      <c r="E27" s="1">
        <v>272.125</v>
      </c>
    </row>
    <row r="28" ht="15.75" customHeight="1">
      <c r="A28" s="1" t="s">
        <v>10</v>
      </c>
      <c r="B28" s="1" t="s">
        <v>14</v>
      </c>
      <c r="C28" s="1">
        <v>11.0</v>
      </c>
      <c r="D28" s="1">
        <v>2807.0</v>
      </c>
      <c r="E28" s="1">
        <v>255.181818181818</v>
      </c>
    </row>
    <row r="29" ht="15.75" customHeight="1">
      <c r="A29" s="1" t="s">
        <v>10</v>
      </c>
      <c r="B29" s="1" t="s">
        <v>17</v>
      </c>
      <c r="C29" s="1">
        <v>9.0</v>
      </c>
      <c r="D29" s="1">
        <v>1970.0</v>
      </c>
      <c r="E29" s="1">
        <v>218.888888888889</v>
      </c>
    </row>
    <row r="30" ht="15.75" customHeight="1">
      <c r="A30" s="1" t="s">
        <v>10</v>
      </c>
      <c r="B30" s="1" t="s">
        <v>21</v>
      </c>
      <c r="C30" s="1">
        <v>13.0</v>
      </c>
      <c r="D30" s="1">
        <v>3045.0</v>
      </c>
      <c r="E30" s="1">
        <v>234.230769230769</v>
      </c>
    </row>
    <row r="31" ht="15.75" customHeight="1">
      <c r="A31" s="1" t="s">
        <v>10</v>
      </c>
      <c r="B31" s="1" t="s">
        <v>22</v>
      </c>
      <c r="C31" s="1">
        <v>13.0</v>
      </c>
      <c r="D31" s="1">
        <v>2775.0</v>
      </c>
      <c r="E31" s="1">
        <v>213.461538461538</v>
      </c>
    </row>
    <row r="32" ht="15.75" customHeight="1">
      <c r="A32" s="1" t="s">
        <v>8</v>
      </c>
      <c r="B32" s="1" t="s">
        <v>11</v>
      </c>
      <c r="C32" s="1">
        <v>10.0</v>
      </c>
      <c r="D32" s="1">
        <v>1290.0</v>
      </c>
      <c r="E32" s="1">
        <v>129.0</v>
      </c>
    </row>
    <row r="33" ht="15.75" customHeight="1">
      <c r="A33" s="1" t="s">
        <v>8</v>
      </c>
      <c r="B33" s="1" t="s">
        <v>13</v>
      </c>
      <c r="C33" s="1">
        <v>11.0</v>
      </c>
      <c r="D33" s="1">
        <v>1330.0</v>
      </c>
      <c r="E33" s="1">
        <v>120.909090909091</v>
      </c>
    </row>
    <row r="34" ht="15.75" customHeight="1">
      <c r="A34" s="1" t="s">
        <v>8</v>
      </c>
      <c r="B34" s="1" t="s">
        <v>14</v>
      </c>
      <c r="C34" s="1">
        <v>15.0</v>
      </c>
      <c r="D34" s="1">
        <v>1670.0</v>
      </c>
      <c r="E34" s="1">
        <v>111.333333333333</v>
      </c>
    </row>
    <row r="35" ht="15.75" customHeight="1">
      <c r="A35" s="1" t="s">
        <v>8</v>
      </c>
      <c r="B35" s="1" t="s">
        <v>17</v>
      </c>
      <c r="C35" s="1">
        <v>19.0</v>
      </c>
      <c r="D35" s="1">
        <v>2980.0</v>
      </c>
      <c r="E35" s="1">
        <v>156.842105263158</v>
      </c>
    </row>
    <row r="36" ht="15.75" customHeight="1">
      <c r="A36" s="1" t="s">
        <v>8</v>
      </c>
      <c r="B36" s="1" t="s">
        <v>21</v>
      </c>
      <c r="C36" s="1">
        <v>13.0</v>
      </c>
      <c r="D36" s="1">
        <v>1665.0</v>
      </c>
      <c r="E36" s="1">
        <v>128.076923076923</v>
      </c>
    </row>
    <row r="37" ht="15.75" customHeight="1">
      <c r="A37" s="1" t="s">
        <v>8</v>
      </c>
      <c r="B37" s="1" t="s">
        <v>22</v>
      </c>
      <c r="C37" s="1">
        <v>15.0</v>
      </c>
      <c r="D37" s="1">
        <v>1960.0</v>
      </c>
      <c r="E37" s="1">
        <v>130.666666666667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2" max="2" width="19.86"/>
    <col customWidth="1" min="3" max="3" width="18.57"/>
  </cols>
  <sheetData>
    <row r="1"/>
    <row r="2"/>
    <row r="3"/>
    <row r="4"/>
    <row r="5"/>
    <row r="6"/>
    <row r="7"/>
    <row r="8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1</v>
      </c>
    </row>
    <row r="2">
      <c r="A2" s="1" t="s">
        <v>2</v>
      </c>
      <c r="B2" s="1">
        <v>12000.0</v>
      </c>
    </row>
    <row r="3">
      <c r="A3" s="1" t="s">
        <v>4</v>
      </c>
      <c r="B3" s="1">
        <v>16500.0</v>
      </c>
    </row>
    <row r="4">
      <c r="A4" s="1" t="s">
        <v>8</v>
      </c>
      <c r="B4" s="1">
        <v>13000.0</v>
      </c>
    </row>
    <row r="5">
      <c r="A5" s="1" t="s">
        <v>10</v>
      </c>
      <c r="B5" s="1">
        <v>15500.0</v>
      </c>
    </row>
    <row r="6">
      <c r="A6" s="1" t="s">
        <v>12</v>
      </c>
      <c r="B6" s="1">
        <v>17000.0</v>
      </c>
    </row>
    <row r="7">
      <c r="A7" s="1" t="s">
        <v>9</v>
      </c>
      <c r="B7" s="1">
        <v>12000.0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9.0"/>
    <col customWidth="1" min="2" max="2" width="13.14"/>
    <col customWidth="1" min="3" max="3" width="17.57"/>
    <col customWidth="1" min="4" max="4" width="8.29"/>
    <col customWidth="1" min="5" max="5" width="18.86"/>
    <col customWidth="1" min="6" max="6" width="19.57"/>
    <col customWidth="1" min="7" max="7" width="15.71"/>
    <col customWidth="1" min="8" max="8" width="23.0"/>
  </cols>
  <sheetData>
    <row r="1">
      <c r="A1" s="2" t="s">
        <v>0</v>
      </c>
      <c r="B1" s="2" t="s">
        <v>6</v>
      </c>
      <c r="C1" s="2" t="s">
        <v>1</v>
      </c>
      <c r="D1" s="2" t="s">
        <v>15</v>
      </c>
      <c r="E1" s="2" t="s">
        <v>16</v>
      </c>
      <c r="F1" s="2" t="s">
        <v>18</v>
      </c>
      <c r="G1" s="2" t="s">
        <v>19</v>
      </c>
      <c r="H1" s="2" t="s">
        <v>20</v>
      </c>
    </row>
    <row r="2">
      <c r="A2" s="1" t="str">
        <f>'Pivot Table'!A2</f>
        <v>Bakery</v>
      </c>
      <c r="B2" s="1">
        <f>'Pivot Table'!B2</f>
        <v>15410</v>
      </c>
      <c r="C2" s="1">
        <f t="array" ref="C2">_xlfn.XLOOKUP(A2, 'Category Targets'!A:A, 'Category Targets'!B:B, "Not Found")</f>
        <v>12000</v>
      </c>
      <c r="D2" s="1">
        <f t="shared" ref="D2:D7" si="1">C2-B2</f>
        <v>-3410</v>
      </c>
      <c r="E2" s="1">
        <f t="shared" ref="E2:E7" si="2">((B2-C2)/C2)*100</f>
        <v>28.41666667</v>
      </c>
      <c r="F2" s="1" t="str">
        <f t="shared" ref="F2:F7" si="3">IF(B2&gt;=C2,"Above Target",IF(((C2-B2)/C2)*100&lt;=15,"Below Target - Watch","Below Target - Critical"))</f>
        <v>Above Target</v>
      </c>
      <c r="G2" s="2">
        <v>15410.0</v>
      </c>
      <c r="H2" s="1" t="str">
        <f t="shared" ref="H2:H7" si="4">IF(B2=G2,"Yes","No")</f>
        <v>Yes</v>
      </c>
    </row>
    <row r="3">
      <c r="A3" s="1" t="str">
        <f>'Pivot Table'!A3</f>
        <v>Dairy &amp; Eggs</v>
      </c>
      <c r="B3" s="1">
        <f>'Pivot Table'!B3</f>
        <v>14090</v>
      </c>
      <c r="C3" s="1">
        <f t="array" ref="C3">_xlfn.XLOOKUP(A3, 'Category Targets'!A:A, 'Category Targets'!B:B, "Not Found")</f>
        <v>16500</v>
      </c>
      <c r="D3" s="1">
        <f t="shared" si="1"/>
        <v>2410</v>
      </c>
      <c r="E3" s="1">
        <f t="shared" si="2"/>
        <v>-14.60606061</v>
      </c>
      <c r="F3" s="1" t="str">
        <f t="shared" si="3"/>
        <v>Below Target - Watch</v>
      </c>
      <c r="G3" s="2">
        <v>14090.0</v>
      </c>
      <c r="H3" s="1" t="str">
        <f t="shared" si="4"/>
        <v>Yes</v>
      </c>
    </row>
    <row r="4">
      <c r="A4" s="1" t="str">
        <f>'Pivot Table'!A4</f>
        <v>Fruits &amp; Vegetables</v>
      </c>
      <c r="B4" s="1">
        <f>'Pivot Table'!B4</f>
        <v>9790</v>
      </c>
      <c r="C4" s="1">
        <f t="array" ref="C4">_xlfn.XLOOKUP(A4, 'Category Targets'!A:A, 'Category Targets'!B:B, "Not Found")</f>
        <v>12000</v>
      </c>
      <c r="D4" s="1">
        <f t="shared" si="1"/>
        <v>2210</v>
      </c>
      <c r="E4" s="1">
        <f t="shared" si="2"/>
        <v>-18.41666667</v>
      </c>
      <c r="F4" s="1" t="str">
        <f t="shared" si="3"/>
        <v>Below Target - Critical</v>
      </c>
      <c r="G4" s="2">
        <v>9790.0</v>
      </c>
      <c r="H4" s="1" t="str">
        <f t="shared" si="4"/>
        <v>Yes</v>
      </c>
    </row>
    <row r="5">
      <c r="A5" s="1" t="str">
        <f>'Pivot Table'!A5</f>
        <v>Household Essentials</v>
      </c>
      <c r="B5" s="1">
        <f>'Pivot Table'!B5</f>
        <v>21715</v>
      </c>
      <c r="C5" s="1">
        <f t="array" ref="C5">_xlfn.XLOOKUP(A5, 'Category Targets'!A:A, 'Category Targets'!B:B, "Not Found")</f>
        <v>17000</v>
      </c>
      <c r="D5" s="1">
        <f t="shared" si="1"/>
        <v>-4715</v>
      </c>
      <c r="E5" s="1">
        <f t="shared" si="2"/>
        <v>27.73529412</v>
      </c>
      <c r="F5" s="1" t="str">
        <f t="shared" si="3"/>
        <v>Above Target</v>
      </c>
      <c r="G5" s="2">
        <v>21715.0</v>
      </c>
      <c r="H5" s="1" t="str">
        <f t="shared" si="4"/>
        <v>Yes</v>
      </c>
    </row>
    <row r="6">
      <c r="A6" s="1" t="str">
        <f>'Pivot Table'!A6</f>
        <v>Personal Care</v>
      </c>
      <c r="B6" s="1">
        <f>'Pivot Table'!B6</f>
        <v>16382</v>
      </c>
      <c r="C6" s="1">
        <f t="array" ref="C6">_xlfn.XLOOKUP(A6, 'Category Targets'!A:A, 'Category Targets'!B:B, "Not Found")</f>
        <v>15500</v>
      </c>
      <c r="D6" s="1">
        <f t="shared" si="1"/>
        <v>-882</v>
      </c>
      <c r="E6" s="1">
        <f t="shared" si="2"/>
        <v>5.690322581</v>
      </c>
      <c r="F6" s="1" t="str">
        <f t="shared" si="3"/>
        <v>Above Target</v>
      </c>
      <c r="G6" s="2">
        <v>16382.0</v>
      </c>
      <c r="H6" s="1" t="str">
        <f t="shared" si="4"/>
        <v>Yes</v>
      </c>
    </row>
    <row r="7">
      <c r="A7" s="1" t="str">
        <f>'Pivot Table'!A7</f>
        <v>Snacks &amp; Beverages</v>
      </c>
      <c r="B7" s="1">
        <f>'Pivot Table'!B7</f>
        <v>10895</v>
      </c>
      <c r="C7" s="1">
        <f t="array" ref="C7">_xlfn.XLOOKUP(A7, 'Category Targets'!A:A, 'Category Targets'!B:B, "Not Found")</f>
        <v>13000</v>
      </c>
      <c r="D7" s="1">
        <f t="shared" si="1"/>
        <v>2105</v>
      </c>
      <c r="E7" s="1">
        <f t="shared" si="2"/>
        <v>-16.19230769</v>
      </c>
      <c r="F7" s="1" t="str">
        <f t="shared" si="3"/>
        <v>Below Target - Critical</v>
      </c>
      <c r="G7" s="2">
        <v>10895.0</v>
      </c>
      <c r="H7" s="1" t="str">
        <f t="shared" si="4"/>
        <v>Yes</v>
      </c>
    </row>
    <row r="11">
      <c r="E11" s="3"/>
    </row>
  </sheetData>
  <conditionalFormatting sqref="F2:F7">
    <cfRule type="expression" dxfId="0" priority="1">
      <formula>F2="Above Target"</formula>
    </cfRule>
  </conditionalFormatting>
  <conditionalFormatting sqref="H10">
    <cfRule type="notContainsBlanks" dxfId="1" priority="2">
      <formula>LEN(TRIM(H10))&gt;0</formula>
    </cfRule>
  </conditionalFormatting>
  <conditionalFormatting sqref="F2:F7">
    <cfRule type="expression" dxfId="2" priority="3">
      <formula>F2="Below Target - Watch"</formula>
    </cfRule>
  </conditionalFormatting>
  <conditionalFormatting sqref="F2:F7">
    <cfRule type="expression" dxfId="3" priority="4">
      <formula>F2="Below Target - Critical"</formula>
    </cfRule>
  </conditionalFormatting>
  <drawing r:id="rId1"/>
</worksheet>
</file>